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نمونه کار\"/>
    </mc:Choice>
  </mc:AlternateContent>
  <xr:revisionPtr revIDLastSave="0" documentId="13_ncr:1_{486B82B3-7DD3-4134-8347-A2995FA60A28}" xr6:coauthVersionLast="47" xr6:coauthVersionMax="47" xr10:uidLastSave="{00000000-0000-0000-0000-000000000000}"/>
  <bookViews>
    <workbookView xWindow="-108" yWindow="-108" windowWidth="23256" windowHeight="12576" xr2:uid="{808C6040-59CA-40E5-8685-FB9B017AD4B9}"/>
  </bookViews>
  <sheets>
    <sheet name="Sheet1" sheetId="1" r:id="rId1"/>
    <sheet name="Sheet2" sheetId="2" r:id="rId2"/>
  </sheets>
  <definedNames>
    <definedName name="_xlchart.v1.0" hidden="1">Sheet2!$C$2</definedName>
    <definedName name="_xlchart.v1.1" hidden="1">Sheet2!$C$3:$C$8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8" i="2" l="1"/>
  <c r="D8" i="2"/>
  <c r="F18" i="1"/>
  <c r="F20" i="1"/>
  <c r="F21" i="1" s="1"/>
  <c r="N9" i="1"/>
  <c r="N8" i="1"/>
  <c r="E8" i="1"/>
  <c r="F19" i="1" s="1"/>
  <c r="D8" i="1"/>
  <c r="E18" i="1" s="1"/>
  <c r="E20" i="1" s="1"/>
  <c r="E21" i="1" s="1"/>
  <c r="N7" i="1"/>
  <c r="N6" i="1"/>
  <c r="N5" i="1"/>
  <c r="F23" i="1" l="1"/>
  <c r="N10" i="1"/>
  <c r="F22" i="1" s="1"/>
  <c r="E19" i="1"/>
</calcChain>
</file>

<file path=xl/sharedStrings.xml><?xml version="1.0" encoding="utf-8"?>
<sst xmlns="http://schemas.openxmlformats.org/spreadsheetml/2006/main" count="34" uniqueCount="23">
  <si>
    <t>دانشجو</t>
  </si>
  <si>
    <t>ساعت مطالعه در هفته</t>
  </si>
  <si>
    <t>نمره پایان ترم</t>
  </si>
  <si>
    <t>A</t>
  </si>
  <si>
    <t>B</t>
  </si>
  <si>
    <t>C</t>
  </si>
  <si>
    <t>D</t>
  </si>
  <si>
    <t>E</t>
  </si>
  <si>
    <t>انجام محاسبات</t>
  </si>
  <si>
    <t>mean(میانگین)</t>
  </si>
  <si>
    <t xml:space="preserve">median(میانه) </t>
  </si>
  <si>
    <t>variance(واریانس)</t>
  </si>
  <si>
    <t>deviation(انحراف معیار)</t>
  </si>
  <si>
    <t>covarians(کوواریانس)</t>
  </si>
  <si>
    <t>cv(ضریب تغییرات)</t>
  </si>
  <si>
    <t>Total</t>
  </si>
  <si>
    <t>تفاضل ها برای کوواریانس</t>
  </si>
  <si>
    <t>x</t>
  </si>
  <si>
    <t>y</t>
  </si>
  <si>
    <t>(x-x̄)</t>
  </si>
  <si>
    <t>(y-ȳ)</t>
  </si>
  <si>
    <t>(x-x̄)(y-ȳ)</t>
  </si>
  <si>
    <t>مجموع کوواریانس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</si>
</sst>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8" xfId="0" applyFont="1" applyBorder="1" applyAlignment="1">
      <alignment horizontal="center" vertical="top"/>
    </xf>
    <xf numFmtId="0" fontId="1" fillId="0" borderId="7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top"/>
    </xf>
    <xf numFmtId="0" fontId="1" fillId="3" borderId="6" xfId="0" applyFont="1" applyFill="1" applyBorder="1" applyAlignment="1">
      <alignment horizontal="center" vertical="top"/>
    </xf>
    <xf numFmtId="0" fontId="1" fillId="2" borderId="9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2" fontId="1" fillId="2" borderId="9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9" xfId="0" applyNumberFormat="1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</cellXfs>
  <cellStyles count="1">
    <cellStyle name="Normal" xfId="0" builtinId="0"/>
  </cellStyles>
  <dxfs count="3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sz val="12"/>
      </font>
      <alignment horizontal="center" vertical="top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sz val="12"/>
      </font>
      <alignment horizontal="center" vertical="top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sz val="12"/>
      </font>
      <alignment horizontal="center" vertical="top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fill>
        <patternFill patternType="solid">
          <fgColor indexed="64"/>
          <bgColor theme="0"/>
        </patternFill>
      </fill>
    </dxf>
    <dxf>
      <border outline="0">
        <right style="thin">
          <color indexed="64"/>
        </right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z val="12"/>
      </font>
      <numFmt numFmtId="0" formatCode="General"/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2"/>
      </font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5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sz val="12"/>
      </font>
      <alignment horizontal="center" vertical="top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sz val="12"/>
      </font>
      <alignment horizontal="center" vertical="top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sz val="12"/>
      </font>
      <alignment horizontal="center" vertical="top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fill>
        <patternFill patternType="solid">
          <fgColor indexed="64"/>
          <bgColor theme="0"/>
        </patternFill>
      </fill>
    </dxf>
    <dxf>
      <border outline="0">
        <right style="thin">
          <color indexed="64"/>
        </right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fa-IR"/>
              <a:t>وضعیت</a:t>
            </a:r>
            <a:r>
              <a:rPr lang="fa-IR" baseline="0"/>
              <a:t> عملکرد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Sheet2!$C$2</c:f>
              <c:strCache>
                <c:ptCount val="1"/>
                <c:pt idx="0">
                  <c:v>ساعت مطالعه در هفته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strRef>
              <c:f>Sheet2!$B$3:$B$7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xVal>
          <c:yVal>
            <c:numRef>
              <c:f>Sheet2!$C$3:$C$7</c:f>
              <c:numCache>
                <c:formatCode>General</c:formatCode>
                <c:ptCount val="5"/>
                <c:pt idx="0">
                  <c:v>4</c:v>
                </c:pt>
                <c:pt idx="1">
                  <c:v>6</c:v>
                </c:pt>
                <c:pt idx="2">
                  <c:v>8</c:v>
                </c:pt>
                <c:pt idx="3">
                  <c:v>10</c:v>
                </c:pt>
                <c:pt idx="4">
                  <c:v>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AA8-46E6-A992-794D17E58DC3}"/>
            </c:ext>
          </c:extLst>
        </c:ser>
        <c:ser>
          <c:idx val="1"/>
          <c:order val="1"/>
          <c:tx>
            <c:strRef>
              <c:f>Sheet2!$D$2</c:f>
              <c:strCache>
                <c:ptCount val="1"/>
                <c:pt idx="0">
                  <c:v>نمره پایان ترم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strRef>
              <c:f>Sheet2!$B$3:$B$7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xVal>
          <c:yVal>
            <c:numRef>
              <c:f>Sheet2!$D$3:$D$7</c:f>
              <c:numCache>
                <c:formatCode>General</c:formatCode>
                <c:ptCount val="5"/>
                <c:pt idx="0">
                  <c:v>60</c:v>
                </c:pt>
                <c:pt idx="1">
                  <c:v>70</c:v>
                </c:pt>
                <c:pt idx="2">
                  <c:v>78</c:v>
                </c:pt>
                <c:pt idx="3">
                  <c:v>85</c:v>
                </c:pt>
                <c:pt idx="4">
                  <c:v>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AA8-46E6-A992-794D17E58DC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8055824"/>
        <c:axId val="8052496"/>
      </c:scatterChart>
      <c:valAx>
        <c:axId val="8055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2496"/>
        <c:crosses val="autoZero"/>
        <c:crossBetween val="midCat"/>
      </c:valAx>
      <c:valAx>
        <c:axId val="8052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58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Sheet2!$D$2</c:f>
              <c:strCache>
                <c:ptCount val="1"/>
                <c:pt idx="0">
                  <c:v>نمره پایان ترم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Sheet2!$C$3:$C$7</c:f>
              <c:numCache>
                <c:formatCode>General</c:formatCode>
                <c:ptCount val="5"/>
                <c:pt idx="0">
                  <c:v>4</c:v>
                </c:pt>
                <c:pt idx="1">
                  <c:v>6</c:v>
                </c:pt>
                <c:pt idx="2">
                  <c:v>8</c:v>
                </c:pt>
                <c:pt idx="3">
                  <c:v>10</c:v>
                </c:pt>
                <c:pt idx="4">
                  <c:v>12</c:v>
                </c:pt>
              </c:numCache>
            </c:numRef>
          </c:xVal>
          <c:yVal>
            <c:numRef>
              <c:f>Sheet2!$D$3:$D$7</c:f>
              <c:numCache>
                <c:formatCode>General</c:formatCode>
                <c:ptCount val="5"/>
                <c:pt idx="0">
                  <c:v>60</c:v>
                </c:pt>
                <c:pt idx="1">
                  <c:v>70</c:v>
                </c:pt>
                <c:pt idx="2">
                  <c:v>78</c:v>
                </c:pt>
                <c:pt idx="3">
                  <c:v>85</c:v>
                </c:pt>
                <c:pt idx="4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A0-4CC4-A17F-A259E466D86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88053968"/>
        <c:axId val="88051056"/>
      </c:scatterChart>
      <c:valAx>
        <c:axId val="88053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051056"/>
        <c:crosses val="autoZero"/>
        <c:crossBetween val="midCat"/>
      </c:valAx>
      <c:valAx>
        <c:axId val="88051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053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14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title>
    <cx:plotArea>
      <cx:plotAreaRegion>
        <cx:series layoutId="clusteredColumn" uniqueId="{F858F4A6-6CE9-4703-9FEA-E4A84B30A8EE}">
          <cx:tx>
            <cx:txData>
              <cx:f>_xlchart.v1.0</cx:f>
              <cx:v>ساعت مطالعه در هفته</cx:v>
            </cx:txData>
          </cx:tx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182880</xdr:colOff>
      <xdr:row>0</xdr:row>
      <xdr:rowOff>114300</xdr:rowOff>
    </xdr:from>
    <xdr:to>
      <xdr:col>11</xdr:col>
      <xdr:colOff>320040</xdr:colOff>
      <xdr:row>14</xdr:row>
      <xdr:rowOff>99060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9BC4D9F-BE76-49FD-B347-7FA692E748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403860</xdr:colOff>
      <xdr:row>0</xdr:row>
      <xdr:rowOff>171450</xdr:rowOff>
    </xdr:from>
    <xdr:to>
      <xdr:col>18</xdr:col>
      <xdr:colOff>487680</xdr:colOff>
      <xdr:row>14</xdr:row>
      <xdr:rowOff>99060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A9686E7-352F-499C-A732-9B811474F1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60960</xdr:colOff>
      <xdr:row>15</xdr:row>
      <xdr:rowOff>125730</xdr:rowOff>
    </xdr:from>
    <xdr:to>
      <xdr:col>14</xdr:col>
      <xdr:colOff>434340</xdr:colOff>
      <xdr:row>19</xdr:row>
      <xdr:rowOff>175260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889DEFC-C879-42D5-AAB2-885D2EA02F41}"/>
            </a:ext>
          </a:extLst>
        </xdr:cNvPr>
        <xdr:cNvSpPr txBox="1"/>
      </xdr:nvSpPr>
      <xdr:spPr>
        <a:xfrm>
          <a:off x="6667500" y="2975610"/>
          <a:ext cx="4030980" cy="78105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1"/>
          <a:r>
            <a:rPr lang="fa-IR" sz="1400"/>
            <a:t>این</a:t>
          </a:r>
          <a:r>
            <a:rPr lang="fa-IR" sz="1400" baseline="0"/>
            <a:t> دو نمودار نشان میدهد :</a:t>
          </a:r>
        </a:p>
        <a:p>
          <a:pPr rtl="1"/>
          <a:r>
            <a:rPr lang="fa-IR" sz="1400" baseline="0"/>
            <a:t>هرچه ساعت مطالعه بیشتر باشد نمره دانشجو بالاتر می رود .</a:t>
          </a:r>
        </a:p>
        <a:p>
          <a:pPr rtl="1"/>
          <a:r>
            <a:rPr lang="fa-IR" sz="1400" baseline="0"/>
            <a:t>در این نتیجه با مقدار کوواریانس مثبت نیز هماهنگ است </a:t>
          </a:r>
          <a:endParaRPr lang="en-US" sz="1400"/>
        </a:p>
      </xdr:txBody>
    </xdr:sp>
    <xdr:clientData/>
  </xdr:twoCellAnchor>
  <xdr:twoCellAnchor>
    <xdr:from>
      <xdr:col>1</xdr:col>
      <xdr:colOff>30480</xdr:colOff>
      <xdr:row>24</xdr:row>
      <xdr:rowOff>95250</xdr:rowOff>
    </xdr:from>
    <xdr:to>
      <xdr:col>5</xdr:col>
      <xdr:colOff>251460</xdr:colOff>
      <xdr:row>39</xdr:row>
      <xdr:rowOff>95250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8C19E52A-6F76-46FB-9AC3-4B659F387BD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7200" y="45910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487680</xdr:colOff>
      <xdr:row>27</xdr:row>
      <xdr:rowOff>99060</xdr:rowOff>
    </xdr:from>
    <xdr:to>
      <xdr:col>10</xdr:col>
      <xdr:colOff>121920</xdr:colOff>
      <xdr:row>33</xdr:row>
      <xdr:rowOff>0</xdr:rowOff>
    </xdr:to>
    <xdr:sp macro="" textlink="">
      <xdr:nvSpPr>
        <xdr:cNvPr id="10" name="Arrow: Right 9">
          <a:extLst>
            <a:ext uri="{FF2B5EF4-FFF2-40B4-BE49-F238E27FC236}">
              <a16:creationId xmlns:a16="http://schemas.microsoft.com/office/drawing/2014/main" id="{74243523-D8E3-4ED6-B713-CCD34656BAC0}"/>
            </a:ext>
          </a:extLst>
        </xdr:cNvPr>
        <xdr:cNvSpPr/>
      </xdr:nvSpPr>
      <xdr:spPr>
        <a:xfrm>
          <a:off x="5875020" y="5143500"/>
          <a:ext cx="2072640" cy="998220"/>
        </a:xfrm>
        <a:prstGeom prst="rightArrow">
          <a:avLst>
            <a:gd name="adj1" fmla="val 51527"/>
            <a:gd name="adj2" fmla="val 50000"/>
          </a:avLst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533400</xdr:colOff>
      <xdr:row>25</xdr:row>
      <xdr:rowOff>152400</xdr:rowOff>
    </xdr:from>
    <xdr:to>
      <xdr:col>16</xdr:col>
      <xdr:colOff>274320</xdr:colOff>
      <xdr:row>35</xdr:row>
      <xdr:rowOff>144780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B8873406-6DF4-4D8F-BBB9-9413FE8E55C7}"/>
            </a:ext>
          </a:extLst>
        </xdr:cNvPr>
        <xdr:cNvSpPr/>
      </xdr:nvSpPr>
      <xdr:spPr>
        <a:xfrm>
          <a:off x="8359140" y="4831080"/>
          <a:ext cx="3398520" cy="1821180"/>
        </a:xfrm>
        <a:prstGeom prst="ellipse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 rtl="1"/>
          <a:r>
            <a:rPr lang="fa-IR" sz="1100">
              <a:solidFill>
                <a:sysClr val="windowText" lastClr="000000"/>
              </a:solidFill>
            </a:rPr>
            <a:t>هیستو</a:t>
          </a:r>
          <a:r>
            <a:rPr lang="fa-IR" sz="1100" baseline="0">
              <a:solidFill>
                <a:sysClr val="windowText" lastClr="000000"/>
              </a:solidFill>
            </a:rPr>
            <a:t>گرام ساعت مطالعه نشان میدهد در چه بازه    هایی بیشترین تکرار را دارند:</a:t>
          </a:r>
        </a:p>
        <a:p>
          <a:pPr algn="ctr" rtl="1"/>
          <a:endParaRPr lang="fa-IR" sz="1100" baseline="0">
            <a:solidFill>
              <a:sysClr val="windowText" lastClr="000000"/>
            </a:solidFill>
          </a:endParaRPr>
        </a:p>
        <a:p>
          <a:pPr algn="ctr" rtl="1"/>
          <a:r>
            <a:rPr lang="fa-IR" sz="1100" baseline="0">
              <a:solidFill>
                <a:sysClr val="windowText" lastClr="000000"/>
              </a:solidFill>
            </a:rPr>
            <a:t>این نمودار نشان می دهد دانشجویان بیشتر</a:t>
          </a:r>
        </a:p>
        <a:p>
          <a:pPr algn="ctr" rtl="1"/>
          <a:r>
            <a:rPr lang="fa-IR" sz="1100" baseline="0">
              <a:solidFill>
                <a:sysClr val="windowText" lastClr="000000"/>
              </a:solidFill>
            </a:rPr>
            <a:t>بین</a:t>
          </a:r>
          <a:r>
            <a:rPr lang="en-US" sz="1100" baseline="0">
              <a:solidFill>
                <a:sysClr val="windowText" lastClr="000000"/>
              </a:solidFill>
            </a:rPr>
            <a:t>[4,10.5]</a:t>
          </a:r>
          <a:r>
            <a:rPr lang="fa-IR" sz="1100" baseline="0">
              <a:solidFill>
                <a:sysClr val="windowText" lastClr="000000"/>
              </a:solidFill>
            </a:rPr>
            <a:t> ساعت مطالعه داشتن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202A4A-65BD-4563-9481-2BA92A70DA6F}" name="Table1" displayName="Table1" ref="C2:E8" totalsRowCount="1" headerRowDxfId="33" totalsRowDxfId="30" headerRowBorderDxfId="32" tableBorderDxfId="31" totalsRowBorderDxfId="29">
  <autoFilter ref="C2:E7" xr:uid="{0B202A4A-65BD-4563-9481-2BA92A70DA6F}">
    <filterColumn colId="0" hiddenButton="1"/>
    <filterColumn colId="1" hiddenButton="1"/>
    <filterColumn colId="2" hiddenButton="1"/>
  </autoFilter>
  <tableColumns count="3">
    <tableColumn id="1" xr3:uid="{B4139E2A-582B-4B6F-9F83-531BB38DF733}" name="دانشجو" totalsRowLabel="Total" dataDxfId="28" totalsRowDxfId="27"/>
    <tableColumn id="2" xr3:uid="{B943788E-558C-4A9B-B4E1-E3801CDB3946}" name="ساعت مطالعه در هفته" totalsRowFunction="sum" dataDxfId="26" totalsRowDxfId="25"/>
    <tableColumn id="3" xr3:uid="{182679F1-05CA-48A4-B93B-4155D3EB0194}" name="نمره پایان ترم" totalsRowFunction="sum" dataDxfId="24" totalsRowDxfId="2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810FBE-03EA-4F7E-9F3E-1CB0C47BDE79}" name="Table2" displayName="Table2" ref="D18:F23" headerRowCount="0" totalsRowShown="0" headerRowDxfId="22" tableBorderDxfId="21">
  <tableColumns count="3">
    <tableColumn id="1" xr3:uid="{08968451-A1CE-483E-83AF-2DB63D1F0865}" name="Column1" dataDxfId="20"/>
    <tableColumn id="2" xr3:uid="{8AA1F25E-46E1-4D1F-BED1-FFC98BB05676}" name="Column2" dataDxfId="19">
      <calculatedColumnFormula>Table1[[#Totals],[ساعت مطالعه در هفته]]/5</calculatedColumnFormula>
    </tableColumn>
    <tableColumn id="3" xr3:uid="{D8D4AC8B-8F5A-4C60-AC9E-DB793976678D}" name="Column3" headerRowDxfId="18" dataDxfId="17">
      <calculatedColumnFormula>Table1[[#Totals],[نمره پایان ترم]]/5</calculatedColumnFormula>
    </tableColumn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F59BD20-34C5-40F3-906B-605AF289C40C}" name="Table3" displayName="Table3" ref="J4:N9" headerRowCount="0" totalsRowShown="0" dataDxfId="16">
  <tableColumns count="5">
    <tableColumn id="1" xr3:uid="{13A6D2BE-9EE1-416A-BE92-45E428A08180}" name="Column1" dataDxfId="15"/>
    <tableColumn id="2" xr3:uid="{4B095BCB-A26D-49A8-BBD8-29D921591359}" name="Column2" dataDxfId="14"/>
    <tableColumn id="3" xr3:uid="{97C3009C-676A-4802-8B23-86B1CDC0C1B2}" name="Column3" dataDxfId="13"/>
    <tableColumn id="4" xr3:uid="{1571E0C8-AC40-445C-9641-1136D4C9FF57}" name="Column4" dataDxfId="12"/>
    <tableColumn id="5" xr3:uid="{34577834-1997-499C-9066-3C3CACC50AC2}" name="Column5" dataDxfId="11"/>
  </tableColumns>
  <tableStyleInfo name="TableStyleLight21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2D8067D-DD06-432A-A65A-0E69D0E6B8B5}" name="Table15" displayName="Table15" ref="B2:D8" totalsRowCount="1" headerRowDxfId="10" totalsRowDxfId="7" headerRowBorderDxfId="9" tableBorderDxfId="8" totalsRowBorderDxfId="6">
  <autoFilter ref="B2:D7" xr:uid="{32D8067D-DD06-432A-A65A-0E69D0E6B8B5}">
    <filterColumn colId="0" hiddenButton="1"/>
    <filterColumn colId="1" hiddenButton="1"/>
    <filterColumn colId="2" hiddenButton="1"/>
  </autoFilter>
  <tableColumns count="3">
    <tableColumn id="1" xr3:uid="{EAA3AD3D-A82B-4553-B1DE-E1C1FFCF326F}" name="دانشجو" totalsRowLabel="Total" dataDxfId="5" totalsRowDxfId="4"/>
    <tableColumn id="2" xr3:uid="{AEDBFA3E-941E-4718-9100-85B6EC7C158A}" name="ساعت مطالعه در هفته" totalsRowFunction="sum" dataDxfId="3" totalsRowDxfId="2"/>
    <tableColumn id="3" xr3:uid="{966F561E-A45C-4DD3-B723-C82808155F44}" name="نمره پایان ترم" totalsRowFunction="sum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1766D-3A57-433B-AE58-C2396B76469B}">
  <dimension ref="C1:N23"/>
  <sheetViews>
    <sheetView tabSelected="1" workbookViewId="0">
      <selection activeCell="I13" sqref="I13"/>
    </sheetView>
  </sheetViews>
  <sheetFormatPr defaultRowHeight="14.4" x14ac:dyDescent="0.3"/>
  <cols>
    <col min="1" max="1" width="1.5546875" customWidth="1"/>
    <col min="3" max="3" width="11.5546875" customWidth="1"/>
    <col min="4" max="4" width="20.77734375" customWidth="1"/>
    <col min="5" max="5" width="19.6640625" customWidth="1"/>
    <col min="6" max="6" width="13" customWidth="1"/>
    <col min="10" max="11" width="10.44140625" customWidth="1"/>
    <col min="12" max="12" width="13.109375" customWidth="1"/>
    <col min="13" max="14" width="10.44140625" customWidth="1"/>
  </cols>
  <sheetData>
    <row r="1" spans="3:14" ht="9" customHeight="1" x14ac:dyDescent="0.3"/>
    <row r="2" spans="3:14" ht="18" customHeight="1" x14ac:dyDescent="0.3">
      <c r="C2" s="1" t="s">
        <v>0</v>
      </c>
      <c r="D2" s="1" t="s">
        <v>1</v>
      </c>
      <c r="E2" s="2" t="s">
        <v>2</v>
      </c>
    </row>
    <row r="3" spans="3:14" ht="18" customHeight="1" x14ac:dyDescent="0.3">
      <c r="C3" s="1" t="s">
        <v>3</v>
      </c>
      <c r="D3" s="1">
        <v>4</v>
      </c>
      <c r="E3" s="2">
        <v>60</v>
      </c>
      <c r="J3" s="17" t="s">
        <v>16</v>
      </c>
      <c r="K3" s="17"/>
      <c r="L3" s="17"/>
      <c r="M3" s="17"/>
      <c r="N3" s="17"/>
    </row>
    <row r="4" spans="3:14" ht="18" customHeight="1" x14ac:dyDescent="0.3">
      <c r="C4" s="1" t="s">
        <v>4</v>
      </c>
      <c r="D4" s="1">
        <v>6</v>
      </c>
      <c r="E4" s="2">
        <v>70</v>
      </c>
      <c r="J4" s="14" t="s">
        <v>17</v>
      </c>
      <c r="K4" s="14" t="s">
        <v>18</v>
      </c>
      <c r="L4" s="14" t="s">
        <v>19</v>
      </c>
      <c r="M4" s="14" t="s">
        <v>20</v>
      </c>
      <c r="N4" s="14" t="s">
        <v>21</v>
      </c>
    </row>
    <row r="5" spans="3:14" ht="18" customHeight="1" x14ac:dyDescent="0.3">
      <c r="C5" s="1" t="s">
        <v>5</v>
      </c>
      <c r="D5" s="1">
        <v>8</v>
      </c>
      <c r="E5" s="2">
        <v>78</v>
      </c>
      <c r="J5" s="14">
        <v>4</v>
      </c>
      <c r="K5" s="14">
        <v>60</v>
      </c>
      <c r="L5" s="14">
        <v>-4</v>
      </c>
      <c r="M5" s="14">
        <v>-16.600000000000001</v>
      </c>
      <c r="N5" s="14">
        <f>L5*Table3[[#This Row],[Column4]]</f>
        <v>66.400000000000006</v>
      </c>
    </row>
    <row r="6" spans="3:14" ht="18.600000000000001" customHeight="1" x14ac:dyDescent="0.3">
      <c r="C6" s="1" t="s">
        <v>6</v>
      </c>
      <c r="D6" s="1">
        <v>10</v>
      </c>
      <c r="E6" s="2">
        <v>85</v>
      </c>
      <c r="J6" s="14">
        <v>6</v>
      </c>
      <c r="K6" s="14">
        <v>70</v>
      </c>
      <c r="L6" s="14">
        <v>-2</v>
      </c>
      <c r="M6" s="14">
        <v>-6.6</v>
      </c>
      <c r="N6" s="14">
        <f>Table3[[#This Row],[Column3]]*Table3[[#This Row],[Column4]]</f>
        <v>13.2</v>
      </c>
    </row>
    <row r="7" spans="3:14" ht="18" customHeight="1" x14ac:dyDescent="0.3">
      <c r="C7" s="3" t="s">
        <v>7</v>
      </c>
      <c r="D7" s="1">
        <v>12</v>
      </c>
      <c r="E7" s="4">
        <v>90</v>
      </c>
      <c r="J7" s="14">
        <v>8</v>
      </c>
      <c r="K7" s="14">
        <v>78</v>
      </c>
      <c r="L7" s="14">
        <v>0</v>
      </c>
      <c r="M7" s="14">
        <v>1.4</v>
      </c>
      <c r="N7" s="14">
        <f>Table3[[#This Row],[Column3]]*Table3[[#This Row],[Column4]]</f>
        <v>0</v>
      </c>
    </row>
    <row r="8" spans="3:14" ht="15.6" x14ac:dyDescent="0.3">
      <c r="C8" s="9" t="s">
        <v>15</v>
      </c>
      <c r="D8" s="9">
        <f>SUBTOTAL(109,Table1[ساعت مطالعه در هفته])</f>
        <v>40</v>
      </c>
      <c r="E8" s="10">
        <f>SUBTOTAL(109,Table1[نمره پایان ترم])</f>
        <v>383</v>
      </c>
      <c r="J8" s="14">
        <v>10</v>
      </c>
      <c r="K8" s="14">
        <v>85</v>
      </c>
      <c r="L8" s="14">
        <v>2</v>
      </c>
      <c r="M8" s="14">
        <v>8.4</v>
      </c>
      <c r="N8" s="14">
        <f>Table3[[#This Row],[Column3]]*Table3[[#This Row],[Column4]]</f>
        <v>16.8</v>
      </c>
    </row>
    <row r="9" spans="3:14" ht="15.6" x14ac:dyDescent="0.3">
      <c r="J9" s="14">
        <v>12</v>
      </c>
      <c r="K9" s="14">
        <v>90</v>
      </c>
      <c r="L9" s="14">
        <v>4</v>
      </c>
      <c r="M9" s="14">
        <v>13.4</v>
      </c>
      <c r="N9" s="14">
        <f>Table3[[#This Row],[Column3]]*Table3[[#This Row],[Column4]]</f>
        <v>53.6</v>
      </c>
    </row>
    <row r="10" spans="3:14" ht="15.6" x14ac:dyDescent="0.3">
      <c r="J10" s="18" t="s">
        <v>22</v>
      </c>
      <c r="K10" s="18"/>
      <c r="L10" s="18"/>
      <c r="M10" s="18"/>
      <c r="N10" s="16">
        <f>SUM(N5:N9)</f>
        <v>150</v>
      </c>
    </row>
    <row r="17" spans="4:6" ht="15.6" x14ac:dyDescent="0.3">
      <c r="D17" s="12" t="s">
        <v>8</v>
      </c>
      <c r="E17" s="12" t="s">
        <v>1</v>
      </c>
      <c r="F17" s="12" t="s">
        <v>2</v>
      </c>
    </row>
    <row r="18" spans="4:6" ht="15.6" x14ac:dyDescent="0.3">
      <c r="D18" s="6" t="s">
        <v>9</v>
      </c>
      <c r="E18" s="11">
        <f>Table1[[#Totals],[ساعت مطالعه در هفته]]/5</f>
        <v>8</v>
      </c>
      <c r="F18" s="11">
        <f>Table1[[#Totals],[نمره پایان ترم]]/5</f>
        <v>76.599999999999994</v>
      </c>
    </row>
    <row r="19" spans="4:6" ht="15.6" x14ac:dyDescent="0.3">
      <c r="D19" s="5" t="s">
        <v>10</v>
      </c>
      <c r="E19" s="11">
        <f>Table1[[#Totals],[ساعت مطالعه در هفته]]+1/2</f>
        <v>40.5</v>
      </c>
      <c r="F19" s="11">
        <f>Table1[[#Totals],[نمره پایان ترم]]+1/2</f>
        <v>383.5</v>
      </c>
    </row>
    <row r="20" spans="4:6" ht="15.6" x14ac:dyDescent="0.3">
      <c r="D20" s="5" t="s">
        <v>11</v>
      </c>
      <c r="E20" s="11">
        <f>((((D3-E18)+(D4-E18)+(D5-E18)+(D6-E18)+(D7-E18))^2)/Table1[[#Totals],[ساعت مطالعه در هفته]])</f>
        <v>0</v>
      </c>
      <c r="F20" s="13">
        <f>_xlfn.VAR.S(E3:E7)</f>
        <v>142.80000000000018</v>
      </c>
    </row>
    <row r="21" spans="4:6" ht="15.6" x14ac:dyDescent="0.3">
      <c r="D21" s="5" t="s">
        <v>12</v>
      </c>
      <c r="E21" s="11">
        <f>SQRT(E20)</f>
        <v>0</v>
      </c>
      <c r="F21" s="13">
        <f>SQRT(F20)</f>
        <v>11.949895397031732</v>
      </c>
    </row>
    <row r="22" spans="4:6" ht="15.6" x14ac:dyDescent="0.3">
      <c r="D22" s="8" t="s">
        <v>13</v>
      </c>
      <c r="E22" s="15">
        <v>2.75</v>
      </c>
      <c r="F22" s="11">
        <f>N10/Table1[[#Totals],[ساعت مطالعه در هفته]]-1</f>
        <v>2.75</v>
      </c>
    </row>
    <row r="23" spans="4:6" ht="15.6" x14ac:dyDescent="0.3">
      <c r="D23" s="7" t="s">
        <v>14</v>
      </c>
      <c r="E23" s="11">
        <v>0</v>
      </c>
      <c r="F23" s="13">
        <f>(SQRT(F20)/F18)*100</f>
        <v>15.600385635811662</v>
      </c>
    </row>
  </sheetData>
  <mergeCells count="2">
    <mergeCell ref="J3:N3"/>
    <mergeCell ref="J10:M10"/>
  </mergeCells>
  <pageMargins left="0.7" right="0.7" top="0.75" bottom="0.75" header="0.3" footer="0.3"/>
  <pageSetup paperSize="9" orientation="portrait" r:id="rId1"/>
  <ignoredErrors>
    <ignoredError sqref="E19:E23 F19:F23" calculatedColumn="1"/>
  </ignoredErrors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6A8FB-764E-4B6F-9A9C-5FDACC5898CC}">
  <dimension ref="B2:S9"/>
  <sheetViews>
    <sheetView workbookViewId="0">
      <selection activeCell="J31" sqref="J31"/>
    </sheetView>
  </sheetViews>
  <sheetFormatPr defaultRowHeight="14.4" x14ac:dyDescent="0.3"/>
  <cols>
    <col min="1" max="1" width="6.21875" customWidth="1"/>
    <col min="3" max="3" width="21.77734375" customWidth="1"/>
    <col min="4" max="4" width="23.88671875" customWidth="1"/>
  </cols>
  <sheetData>
    <row r="2" spans="2:19" ht="15.6" x14ac:dyDescent="0.3">
      <c r="B2" s="1" t="s">
        <v>0</v>
      </c>
      <c r="C2" s="1" t="s">
        <v>1</v>
      </c>
      <c r="D2" s="2" t="s">
        <v>2</v>
      </c>
      <c r="O2" s="14"/>
      <c r="P2" s="14"/>
      <c r="Q2" s="14"/>
      <c r="R2" s="14"/>
      <c r="S2" s="14"/>
    </row>
    <row r="3" spans="2:19" ht="15.6" x14ac:dyDescent="0.3">
      <c r="B3" s="1" t="s">
        <v>3</v>
      </c>
      <c r="C3" s="1">
        <v>4</v>
      </c>
      <c r="D3" s="2">
        <v>60</v>
      </c>
      <c r="O3" s="14"/>
      <c r="P3" s="14"/>
      <c r="Q3" s="14"/>
      <c r="R3" s="14"/>
      <c r="S3" s="14"/>
    </row>
    <row r="4" spans="2:19" ht="15.6" x14ac:dyDescent="0.3">
      <c r="B4" s="1" t="s">
        <v>4</v>
      </c>
      <c r="C4" s="1">
        <v>6</v>
      </c>
      <c r="D4" s="2">
        <v>70</v>
      </c>
      <c r="O4" s="14"/>
      <c r="P4" s="14"/>
      <c r="Q4" s="14"/>
      <c r="R4" s="14"/>
      <c r="S4" s="14"/>
    </row>
    <row r="5" spans="2:19" ht="15.6" x14ac:dyDescent="0.3">
      <c r="B5" s="1" t="s">
        <v>5</v>
      </c>
      <c r="C5" s="1">
        <v>8</v>
      </c>
      <c r="D5" s="2">
        <v>78</v>
      </c>
      <c r="O5" s="14"/>
      <c r="P5" s="14"/>
      <c r="Q5" s="14"/>
      <c r="R5" s="14"/>
      <c r="S5" s="14"/>
    </row>
    <row r="6" spans="2:19" ht="15.6" x14ac:dyDescent="0.3">
      <c r="B6" s="1" t="s">
        <v>6</v>
      </c>
      <c r="C6" s="1">
        <v>10</v>
      </c>
      <c r="D6" s="2">
        <v>85</v>
      </c>
      <c r="O6" s="14"/>
      <c r="P6" s="14"/>
      <c r="Q6" s="14"/>
      <c r="R6" s="14"/>
      <c r="S6" s="14"/>
    </row>
    <row r="7" spans="2:19" ht="15.6" x14ac:dyDescent="0.3">
      <c r="B7" s="3" t="s">
        <v>7</v>
      </c>
      <c r="C7" s="1">
        <v>12</v>
      </c>
      <c r="D7" s="4">
        <v>90</v>
      </c>
      <c r="O7" s="14"/>
      <c r="P7" s="14"/>
      <c r="Q7" s="14"/>
      <c r="R7" s="14"/>
      <c r="S7" s="14"/>
    </row>
    <row r="8" spans="2:19" x14ac:dyDescent="0.3">
      <c r="B8" s="9" t="s">
        <v>15</v>
      </c>
      <c r="C8" s="9">
        <f>SUBTOTAL(109,Table15[ساعت مطالعه در هفته])</f>
        <v>40</v>
      </c>
      <c r="D8" s="10">
        <f>SUBTOTAL(109,Table15[نمره پایان ترم])</f>
        <v>383</v>
      </c>
    </row>
    <row r="9" spans="2:19" ht="15.6" x14ac:dyDescent="0.3"/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arshia sadri</dc:creator>
  <cp:lastModifiedBy>arshia sadri</cp:lastModifiedBy>
  <dcterms:created xsi:type="dcterms:W3CDTF">2025-11-15T07:46:08Z</dcterms:created>
  <dcterms:modified xsi:type="dcterms:W3CDTF">2025-11-25T12:38:55Z</dcterms:modified>
</cp:coreProperties>
</file>